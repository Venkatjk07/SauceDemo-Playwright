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<sst xmlns="http://schemas.openxmlformats.org/spreadsheetml/2006/main" count="386" uniqueCount="220">
  <si>
    <t xml:space="preserve">Test Case ID</t>
  </si>
  <si>
    <t xml:space="preserve">Module</t>
  </si>
  <si>
    <t xml:space="preserve">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</si>
  <si>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</si>
  <si>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</si>
  <si>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</si>
  <si>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</si>
  <si>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</si>
  <si>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Test Type</t>
  </si>
  <si>
    <t xml:space="preserve">Actual Result</t>
  </si>
  <si>
    <t xml:space="preserve">Status</t>
  </si>
  <si>
    <t xml:space="preserve">TC_LOGIN_001</t>
  </si>
  <si>
    <t xml:space="preserve">Login</t>
  </si>
  <si>
    <t xml:space="preserve">Login with valid credentials</t>
  </si>
  <si>
    <t xml:space="preserve">User is on login page</t>
  </si>
  <si>
    <t xml:space="preserve">Enter username → Enter password → Click Login</t>
  </si>
  <si>
    <t xml:space="preserve">standard_user / secret_sauce</t>
  </si>
  <si>
    <t xml:space="preserve">User is logged in and Products page is displayed</t>
  </si>
  <si>
    <t xml:space="preserve">High</t>
  </si>
  <si>
    <t xml:space="preserve">Positive</t>
  </si>
  <si>
    <t xml:space="preserve">TC_LOGIN_002</t>
  </si>
  <si>
    <t xml:space="preserve">Login with invalid username</t>
  </si>
  <si>
    <t xml:space="preserve">Enter invalid username → Enter valid password → Click Login</t>
  </si>
  <si>
    <t xml:space="preserve">wrong_user / secret_sauce</t>
  </si>
  <si>
    <t xml:space="preserve">Error message is displayed</t>
  </si>
  <si>
    <t xml:space="preserve">Negative</t>
  </si>
  <si>
    <t xml:space="preserve">TC_LOGIN_003</t>
  </si>
  <si>
    <t xml:space="preserve">Login with invalid password</t>
  </si>
  <si>
    <t xml:space="preserve">Enter valid username → Enter invalid password → Click Login</t>
  </si>
  <si>
    <t xml:space="preserve">standard_user / wrong_password</t>
  </si>
  <si>
    <t xml:space="preserve">TC_LOGIN_004</t>
  </si>
  <si>
    <t xml:space="preserve">Login with invalid username and password</t>
  </si>
  <si>
    <t xml:space="preserve">Enter invalid username → Enter invalid password → Click Login</t>
  </si>
  <si>
    <t xml:space="preserve">wrong_user / wrong_password</t>
  </si>
  <si>
    <t xml:space="preserve">TC_LOGIN_005</t>
  </si>
  <si>
    <t xml:space="preserve">Login with empty username</t>
  </si>
  <si>
    <t xml:space="preserve">Leave username empty → Enter password → Click Login</t>
  </si>
  <si>
    <t xml:space="preserve">Empty / secret_sauce</t>
  </si>
  <si>
    <t xml:space="preserve">Username required validation is displayed</t>
  </si>
  <si>
    <t xml:space="preserve">TC_LOGIN_006</t>
  </si>
  <si>
    <t xml:space="preserve">Login with empty password</t>
  </si>
  <si>
    <t xml:space="preserve">Enter username → Leave password empty → Click Login</t>
  </si>
  <si>
    <t xml:space="preserve">standard_user / Empty</t>
  </si>
  <si>
    <t xml:space="preserve">Password required validation is displayed</t>
  </si>
  <si>
    <t xml:space="preserve">TC_LOGIN_007</t>
  </si>
  <si>
    <t xml:space="preserve">Login with both fields empty</t>
  </si>
  <si>
    <t xml:space="preserve">Leave both fields empty → Click Login</t>
  </si>
  <si>
    <t xml:space="preserve">Empty / Empty</t>
  </si>
  <si>
    <t xml:space="preserve">Required-field validation is displayed</t>
  </si>
  <si>
    <t xml:space="preserve">TC_LOGIN_008</t>
  </si>
  <si>
    <t xml:space="preserve">Verify password masking</t>
  </si>
  <si>
    <t xml:space="preserve">Enter password in password field</t>
  </si>
  <si>
    <t xml:space="preserve">secret_sauce</t>
  </si>
  <si>
    <t xml:space="preserve">Password characters are masked</t>
  </si>
  <si>
    <t xml:space="preserve">Medium</t>
  </si>
  <si>
    <t xml:space="preserve">Functional</t>
  </si>
  <si>
    <t xml:space="preserve">TC_LOGIN_009</t>
  </si>
  <si>
    <t xml:space="preserve">Verify Login button</t>
  </si>
  <si>
    <t xml:space="preserve">Observe Login button → Click Login</t>
  </si>
  <si>
    <t xml:space="preserve">N/A</t>
  </si>
  <si>
    <t xml:space="preserve">Login button is visible and functional</t>
  </si>
  <si>
    <t xml:space="preserve">TC_LOGIN_010</t>
  </si>
  <si>
    <t xml:space="preserve">Login with locked-out user</t>
  </si>
  <si>
    <t xml:space="preserve">Enter locked user credentials → Click Login</t>
  </si>
  <si>
    <t xml:space="preserve">locked_out_user / secret_sauce</t>
  </si>
  <si>
    <t xml:space="preserve">Appropriate locked-user error message is displayed</t>
  </si>
  <si>
    <t xml:space="preserve">TC_PROD_001</t>
  </si>
  <si>
    <t xml:space="preserve">Products</t>
  </si>
  <si>
    <t xml:space="preserve">Verify Products page after login</t>
  </si>
  <si>
    <t xml:space="preserve">Valid credentials available</t>
  </si>
  <si>
    <t xml:space="preserve">Login successfully</t>
  </si>
  <si>
    <t xml:space="preserve">Products page is displayed</t>
  </si>
  <si>
    <t xml:space="preserve">TC_PROD_002</t>
  </si>
  <si>
    <t xml:space="preserve">Verify product count</t>
  </si>
  <si>
    <t xml:space="preserve">User is on Products page</t>
  </si>
  <si>
    <t xml:space="preserve">Count displayed products</t>
  </si>
  <si>
    <t xml:space="preserve">Six products are displayed</t>
  </si>
  <si>
    <t xml:space="preserve">TC_PROD_003</t>
  </si>
  <si>
    <t xml:space="preserve">Verify product names</t>
  </si>
  <si>
    <t xml:space="preserve">Check displayed product names</t>
  </si>
  <si>
    <t xml:space="preserve">Product names are displayed correctly</t>
  </si>
  <si>
    <t xml:space="preserve">TC_PROD_004</t>
  </si>
  <si>
    <t xml:space="preserve">Verify product prices</t>
  </si>
  <si>
    <t xml:space="preserve">Check displayed product prices</t>
  </si>
  <si>
    <t xml:space="preserve">Product prices are displayed correctly</t>
  </si>
  <si>
    <t xml:space="preserve">TC_PROD_005</t>
  </si>
  <si>
    <t xml:space="preserve">Verify product images</t>
  </si>
  <si>
    <t xml:space="preserve">Check product images</t>
  </si>
  <si>
    <t xml:space="preserve">Product images are displayed correctly</t>
  </si>
  <si>
    <t xml:space="preserve">Low</t>
  </si>
  <si>
    <t xml:space="preserve">TC_PROD_006</t>
  </si>
  <si>
    <t xml:space="preserve">Add one product to cart</t>
  </si>
  <si>
    <t xml:space="preserve">Click Add to Cart for Backpack</t>
  </si>
  <si>
    <t xml:space="preserve">Sauce Labs Backpack</t>
  </si>
  <si>
    <t xml:space="preserve">Product is added and cart count becomes 1</t>
  </si>
  <si>
    <t xml:space="preserve">TC_PROD_007</t>
  </si>
  <si>
    <t xml:space="preserve">Add two products to cart</t>
  </si>
  <si>
    <t xml:space="preserve">Add Backpack → Add Bike Light</t>
  </si>
  <si>
    <t xml:space="preserve">Backpack / Bike Light</t>
  </si>
  <si>
    <t xml:space="preserve">Both products are added and cart count becomes 2</t>
  </si>
  <si>
    <t xml:space="preserve">TC_PROD_008</t>
  </si>
  <si>
    <t xml:space="preserve">Verify product sorting</t>
  </si>
  <si>
    <t xml:space="preserve">Select different sorting options</t>
  </si>
  <si>
    <t xml:space="preserve">Name / Price sorting</t>
  </si>
  <si>
    <t xml:space="preserve">Products are displayed according to selected sorting option</t>
  </si>
  <si>
    <t xml:space="preserve">TC_CART_001</t>
  </si>
  <si>
    <t xml:space="preserve">Cart</t>
  </si>
  <si>
    <t xml:space="preserve">Open shopping cart</t>
  </si>
  <si>
    <t xml:space="preserve">Add product → Click cart icon</t>
  </si>
  <si>
    <t xml:space="preserve">Backpack</t>
  </si>
  <si>
    <t xml:space="preserve">Cart page is displayed</t>
  </si>
  <si>
    <t xml:space="preserve">TC_CART_002</t>
  </si>
  <si>
    <t xml:space="preserve">Verify one product in cart</t>
  </si>
  <si>
    <t xml:space="preserve">Product has been added</t>
  </si>
  <si>
    <t xml:space="preserve">Open cart</t>
  </si>
  <si>
    <t xml:space="preserve">Added product is displayed</t>
  </si>
  <si>
    <t xml:space="preserve">TC_CART_003</t>
  </si>
  <si>
    <t xml:space="preserve">Verify two products in cart</t>
  </si>
  <si>
    <t xml:space="preserve">Two products have been added</t>
  </si>
  <si>
    <t xml:space="preserve">Both products are displayed</t>
  </si>
  <si>
    <t xml:space="preserve">TC_CART_004</t>
  </si>
  <si>
    <t xml:space="preserve">Remove one product</t>
  </si>
  <si>
    <t xml:space="preserve">Two products are in cart</t>
  </si>
  <si>
    <t xml:space="preserve">Open cart → Remove Backpack</t>
  </si>
  <si>
    <t xml:space="preserve">Backpack is removed and Bike Light remains</t>
  </si>
  <si>
    <t xml:space="preserve">TC_CART_005</t>
  </si>
  <si>
    <t xml:space="preserve">Remove all products</t>
  </si>
  <si>
    <t xml:space="preserve">Product is in cart</t>
  </si>
  <si>
    <t xml:space="preserve">Open cart → Remove product</t>
  </si>
  <si>
    <t xml:space="preserve">Product is removed and cart becomes empty</t>
  </si>
  <si>
    <t xml:space="preserve">TC_CART_006</t>
  </si>
  <si>
    <t xml:space="preserve">Verify cart count after removal</t>
  </si>
  <si>
    <t xml:space="preserve">Cart count changes from 2 to 1</t>
  </si>
  <si>
    <t xml:space="preserve">Validation</t>
  </si>
  <si>
    <t xml:space="preserve">TC_CART_007</t>
  </si>
  <si>
    <t xml:space="preserve">Continue Shopping</t>
  </si>
  <si>
    <t xml:space="preserve">User is on Cart page</t>
  </si>
  <si>
    <t xml:space="preserve">Click Continue Shopping</t>
  </si>
  <si>
    <t xml:space="preserve">User is returned to Products page</t>
  </si>
  <si>
    <t xml:space="preserve">TC_CART_008</t>
  </si>
  <si>
    <t xml:space="preserve">Verify Checkout button</t>
  </si>
  <si>
    <t xml:space="preserve">Open cart → Observe Checkout button</t>
  </si>
  <si>
    <t xml:space="preserve">Checkout button is visible and functional</t>
  </si>
  <si>
    <t xml:space="preserve">TC_CHECK_001</t>
  </si>
  <si>
    <t xml:space="preserve">Checkout</t>
  </si>
  <si>
    <t xml:space="preserve">Navigate to checkout</t>
  </si>
  <si>
    <t xml:space="preserve">Open cart → Click Checkout</t>
  </si>
  <si>
    <t xml:space="preserve">Checkout information page is displayed</t>
  </si>
  <si>
    <t xml:space="preserve">TC_CHECK_002</t>
  </si>
  <si>
    <t xml:space="preserve">Checkout with valid information</t>
  </si>
  <si>
    <t xml:space="preserve">Enter all fields → Click Continue</t>
  </si>
  <si>
    <t xml:space="preserve">Venkat / K / 600063</t>
  </si>
  <si>
    <t xml:space="preserve">User proceeds to checkout overview</t>
  </si>
  <si>
    <t xml:space="preserve">TC_CHECK_003</t>
  </si>
  <si>
    <t xml:space="preserve">First name empty</t>
  </si>
  <si>
    <t xml:space="preserve">Leave first name empty → Enter other fields → Continue</t>
  </si>
  <si>
    <t xml:space="preserve">Empty / K / 600063</t>
  </si>
  <si>
    <t xml:space="preserve">First name validation message is displayed</t>
  </si>
  <si>
    <t xml:space="preserve">TC_CHECK_004</t>
  </si>
  <si>
    <t xml:space="preserve">Last name empty</t>
  </si>
  <si>
    <t xml:space="preserve">Enter first name → Leave last name empty → Continue</t>
  </si>
  <si>
    <t xml:space="preserve">Venkat / Empty / 600063</t>
  </si>
  <si>
    <t xml:space="preserve">Last name validation message is displayed</t>
  </si>
  <si>
    <t xml:space="preserve">TC_CHECK_005</t>
  </si>
  <si>
    <t xml:space="preserve">Postal code empty</t>
  </si>
  <si>
    <t xml:space="preserve">Enter first and last name → Leave postal code empty → Continue</t>
  </si>
  <si>
    <t xml:space="preserve">Venkat / K / Empty</t>
  </si>
  <si>
    <t xml:space="preserve">Postal code validation message is displayed</t>
  </si>
  <si>
    <t xml:space="preserve">TC_CHECK_006</t>
  </si>
  <si>
    <t xml:space="preserve">All checkout fields empty</t>
  </si>
  <si>
    <t xml:space="preserve">Leave all fields empty → Click Continue</t>
  </si>
  <si>
    <t xml:space="preserve">Empty / Empty / Empty</t>
  </si>
  <si>
    <t xml:space="preserve">TC_CHECK_007</t>
  </si>
  <si>
    <t xml:space="preserve">Verify postal code boundary/format</t>
  </si>
  <si>
    <t xml:space="preserve">Enter boundary or invalid-format postal code → Continue</t>
  </si>
  <si>
    <t xml:space="preserve">Example: 1 / ABC</t>
  </si>
  <si>
    <t xml:space="preserve">Application validates the postal code according to its rules</t>
  </si>
  <si>
    <t xml:space="preserve">TC_CHECK_008</t>
  </si>
  <si>
    <t xml:space="preserve">Verify order summary</t>
  </si>
  <si>
    <t xml:space="preserve">User is on checkout overview</t>
  </si>
  <si>
    <t xml:space="preserve">Review product, quantity and price</t>
  </si>
  <si>
    <t xml:space="preserve">Order information is displayed correctly</t>
  </si>
  <si>
    <t xml:space="preserve">TC_CHECK_009</t>
  </si>
  <si>
    <t xml:space="preserve">Complete order</t>
  </si>
  <si>
    <t xml:space="preserve">Click Finish</t>
  </si>
  <si>
    <t xml:space="preserve">Valid checkout information</t>
  </si>
  <si>
    <t xml:space="preserve">Order is successfully completed</t>
  </si>
  <si>
    <t xml:space="preserve">TC_CHECK_010</t>
  </si>
  <si>
    <t xml:space="preserve">Verify order confirmation</t>
  </si>
  <si>
    <t xml:space="preserve">Order has been completed</t>
  </si>
  <si>
    <t xml:space="preserve">Check confirmation page</t>
  </si>
  <si>
    <t xml:space="preserve">"Thank you for your order!" is displayed</t>
  </si>
  <si>
    <t xml:space="preserve">TC_LOGOUT_001</t>
  </si>
  <si>
    <t xml:space="preserve">Logout</t>
  </si>
  <si>
    <t xml:space="preserve">Logout successfully</t>
  </si>
  <si>
    <t xml:space="preserve">User is logged in</t>
  </si>
  <si>
    <t xml:space="preserve">Open menu → Click Logout</t>
  </si>
  <si>
    <t xml:space="preserve">Valid logged-in user</t>
  </si>
  <si>
    <t xml:space="preserve">User is returned to login page</t>
  </si>
  <si>
    <t xml:space="preserve">TC_LOGOUT_002</t>
  </si>
  <si>
    <t xml:space="preserve">Verify login page after logout</t>
  </si>
  <si>
    <t xml:space="preserve">User has logged out</t>
  </si>
  <si>
    <t xml:space="preserve">Check login page</t>
  </si>
  <si>
    <t xml:space="preserve">Username, password and Login button are displayed</t>
  </si>
  <si>
    <t xml:space="preserve">TC_LOGOUT_003</t>
  </si>
  <si>
    <t xml:space="preserve">Verify login fields after logout</t>
  </si>
  <si>
    <t xml:space="preserve">Observe username and password fields</t>
  </si>
  <si>
    <t xml:space="preserve">Login fields are available for a new login</t>
  </si>
  <si>
    <t xml:space="preserve">TC_LOGOUT_004</t>
  </si>
  <si>
    <t xml:space="preserve">Verify access after logout</t>
  </si>
  <si>
    <t xml:space="preserve">Try navigating back to Products page</t>
  </si>
  <si>
    <t xml:space="preserve">User should not continue as an authenticated session</t>
  </si>
  <si>
    <t xml:space="preserve">Test Execution Summary</t>
  </si>
  <si>
    <t xml:space="preserve">Total</t>
  </si>
  <si>
    <t xml:space="preserve">Pass</t>
  </si>
  <si>
    <t xml:space="preserve">Fail</t>
  </si>
  <si>
    <t xml:space="preserve">Blocked</t>
  </si>
  <si>
    <t xml:space="preserve">Not Executed</t>
  </si>
  <si>
    <t xml:space="preserve">Pass Rate</t>
  </si>
  <si>
    <t xml:space="preserve">Note: Fill the 'Actual Result' and 'Status' columns on the Test Cases sheet; this summary updates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</si>
</sst>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32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4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3" t="s">
        <v>19</v>
      </c>
      <c r="J2" s="2"/>
      <c r="K2" s="3"/>
    </row>
    <row r="3" customFormat="false" ht="23.85" hidden="false" customHeight="false" outlineLevel="0" collapsed="false">
      <c r="A3" s="2" t="s">
        <v>20</v>
      </c>
      <c r="B3" s="2" t="s">
        <v>12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24</v>
      </c>
      <c r="H3" s="3" t="s">
        <v>18</v>
      </c>
      <c r="I3" s="3" t="s">
        <v>25</v>
      </c>
      <c r="J3" s="2"/>
      <c r="K3" s="3"/>
    </row>
    <row r="4" customFormat="false" ht="23.85" hidden="false" customHeight="false" outlineLevel="0" collapsed="false">
      <c r="A4" s="2" t="s">
        <v>26</v>
      </c>
      <c r="B4" s="2" t="s">
        <v>12</v>
      </c>
      <c r="C4" s="2" t="s">
        <v>27</v>
      </c>
      <c r="D4" s="2" t="s">
        <v>14</v>
      </c>
      <c r="E4" s="2" t="s">
        <v>28</v>
      </c>
      <c r="F4" s="2" t="s">
        <v>29</v>
      </c>
      <c r="G4" s="2" t="s">
        <v>24</v>
      </c>
      <c r="H4" s="3" t="s">
        <v>18</v>
      </c>
      <c r="I4" s="3" t="s">
        <v>25</v>
      </c>
      <c r="J4" s="2"/>
      <c r="K4" s="3"/>
    </row>
    <row r="5" customFormat="false" ht="23.85" hidden="false" customHeight="false" outlineLevel="0" collapsed="false">
      <c r="A5" s="2" t="s">
        <v>30</v>
      </c>
      <c r="B5" s="2" t="s">
        <v>12</v>
      </c>
      <c r="C5" s="2" t="s">
        <v>31</v>
      </c>
      <c r="D5" s="2" t="s">
        <v>14</v>
      </c>
      <c r="E5" s="2" t="s">
        <v>32</v>
      </c>
      <c r="F5" s="2" t="s">
        <v>33</v>
      </c>
      <c r="G5" s="2" t="s">
        <v>24</v>
      </c>
      <c r="H5" s="3" t="s">
        <v>18</v>
      </c>
      <c r="I5" s="3" t="s">
        <v>25</v>
      </c>
      <c r="J5" s="2"/>
      <c r="K5" s="3"/>
    </row>
    <row r="6" customFormat="false" ht="23.85" hidden="false" customHeight="false" outlineLevel="0" collapsed="false">
      <c r="A6" s="2" t="s">
        <v>34</v>
      </c>
      <c r="B6" s="2" t="s">
        <v>12</v>
      </c>
      <c r="C6" s="2" t="s">
        <v>35</v>
      </c>
      <c r="D6" s="2" t="s">
        <v>14</v>
      </c>
      <c r="E6" s="2" t="s">
        <v>36</v>
      </c>
      <c r="F6" s="2" t="s">
        <v>37</v>
      </c>
      <c r="G6" s="2" t="s">
        <v>38</v>
      </c>
      <c r="H6" s="3" t="s">
        <v>18</v>
      </c>
      <c r="I6" s="3" t="s">
        <v>25</v>
      </c>
      <c r="J6" s="2"/>
      <c r="K6" s="3"/>
    </row>
    <row r="7" customFormat="false" ht="23.85" hidden="false" customHeight="false" outlineLevel="0" collapsed="false">
      <c r="A7" s="2" t="s">
        <v>39</v>
      </c>
      <c r="B7" s="2" t="s">
        <v>12</v>
      </c>
      <c r="C7" s="2" t="s">
        <v>40</v>
      </c>
      <c r="D7" s="2" t="s">
        <v>14</v>
      </c>
      <c r="E7" s="2" t="s">
        <v>41</v>
      </c>
      <c r="F7" s="2" t="s">
        <v>42</v>
      </c>
      <c r="G7" s="2" t="s">
        <v>43</v>
      </c>
      <c r="H7" s="3" t="s">
        <v>18</v>
      </c>
      <c r="I7" s="3" t="s">
        <v>25</v>
      </c>
      <c r="J7" s="2"/>
      <c r="K7" s="3"/>
    </row>
    <row r="8" customFormat="false" ht="15" hidden="false" customHeight="false" outlineLevel="0" collapsed="false">
      <c r="A8" s="2" t="s">
        <v>44</v>
      </c>
      <c r="B8" s="2" t="s">
        <v>12</v>
      </c>
      <c r="C8" s="2" t="s">
        <v>45</v>
      </c>
      <c r="D8" s="2" t="s">
        <v>14</v>
      </c>
      <c r="E8" s="2" t="s">
        <v>46</v>
      </c>
      <c r="F8" s="2" t="s">
        <v>47</v>
      </c>
      <c r="G8" s="2" t="s">
        <v>48</v>
      </c>
      <c r="H8" s="3" t="s">
        <v>18</v>
      </c>
      <c r="I8" s="3" t="s">
        <v>25</v>
      </c>
      <c r="J8" s="2"/>
      <c r="K8" s="3"/>
    </row>
    <row r="9" customFormat="false" ht="15" hidden="false" customHeight="false" outlineLevel="0" collapsed="false">
      <c r="A9" s="2" t="s">
        <v>49</v>
      </c>
      <c r="B9" s="2" t="s">
        <v>12</v>
      </c>
      <c r="C9" s="2" t="s">
        <v>50</v>
      </c>
      <c r="D9" s="2" t="s">
        <v>14</v>
      </c>
      <c r="E9" s="2" t="s">
        <v>51</v>
      </c>
      <c r="F9" s="2" t="s">
        <v>52</v>
      </c>
      <c r="G9" s="2" t="s">
        <v>53</v>
      </c>
      <c r="H9" s="3" t="s">
        <v>54</v>
      </c>
      <c r="I9" s="3" t="s">
        <v>55</v>
      </c>
      <c r="J9" s="2"/>
      <c r="K9" s="3"/>
    </row>
    <row r="10" customFormat="false" ht="15" hidden="false" customHeight="false" outlineLevel="0" collapsed="false">
      <c r="A10" s="2" t="s">
        <v>56</v>
      </c>
      <c r="B10" s="2" t="s">
        <v>12</v>
      </c>
      <c r="C10" s="2" t="s">
        <v>57</v>
      </c>
      <c r="D10" s="2" t="s">
        <v>14</v>
      </c>
      <c r="E10" s="2" t="s">
        <v>58</v>
      </c>
      <c r="F10" s="2" t="s">
        <v>59</v>
      </c>
      <c r="G10" s="2" t="s">
        <v>60</v>
      </c>
      <c r="H10" s="3" t="s">
        <v>54</v>
      </c>
      <c r="I10" s="3" t="s">
        <v>55</v>
      </c>
      <c r="J10" s="2"/>
      <c r="K10" s="3"/>
    </row>
    <row r="11" customFormat="false" ht="15" hidden="false" customHeight="false" outlineLevel="0" collapsed="false">
      <c r="A11" s="2" t="s">
        <v>61</v>
      </c>
      <c r="B11" s="2" t="s">
        <v>12</v>
      </c>
      <c r="C11" s="2" t="s">
        <v>62</v>
      </c>
      <c r="D11" s="2" t="s">
        <v>14</v>
      </c>
      <c r="E11" s="2" t="s">
        <v>63</v>
      </c>
      <c r="F11" s="2" t="s">
        <v>64</v>
      </c>
      <c r="G11" s="2" t="s">
        <v>65</v>
      </c>
      <c r="H11" s="3" t="s">
        <v>18</v>
      </c>
      <c r="I11" s="3" t="s">
        <v>25</v>
      </c>
      <c r="J11" s="2"/>
      <c r="K11" s="3"/>
    </row>
    <row r="12" customFormat="false" ht="15" hidden="false" customHeight="false" outlineLevel="0" collapsed="false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16</v>
      </c>
      <c r="G12" s="2" t="s">
        <v>71</v>
      </c>
      <c r="H12" s="3" t="s">
        <v>18</v>
      </c>
      <c r="I12" s="3" t="s">
        <v>19</v>
      </c>
      <c r="J12" s="2"/>
      <c r="K12" s="3"/>
    </row>
    <row r="13" customFormat="false" ht="15" hidden="false" customHeight="false" outlineLevel="0" collapsed="false">
      <c r="A13" s="2" t="s">
        <v>72</v>
      </c>
      <c r="B13" s="2" t="s">
        <v>67</v>
      </c>
      <c r="C13" s="2" t="s">
        <v>73</v>
      </c>
      <c r="D13" s="2" t="s">
        <v>74</v>
      </c>
      <c r="E13" s="2" t="s">
        <v>75</v>
      </c>
      <c r="F13" s="2" t="s">
        <v>59</v>
      </c>
      <c r="G13" s="2" t="s">
        <v>76</v>
      </c>
      <c r="H13" s="3" t="s">
        <v>18</v>
      </c>
      <c r="I13" s="3" t="s">
        <v>55</v>
      </c>
      <c r="J13" s="2"/>
      <c r="K13" s="3"/>
    </row>
    <row r="14" customFormat="false" ht="15" hidden="false" customHeight="false" outlineLevel="0" collapsed="false">
      <c r="A14" s="2" t="s">
        <v>77</v>
      </c>
      <c r="B14" s="2" t="s">
        <v>67</v>
      </c>
      <c r="C14" s="2" t="s">
        <v>78</v>
      </c>
      <c r="D14" s="2" t="s">
        <v>74</v>
      </c>
      <c r="E14" s="2" t="s">
        <v>79</v>
      </c>
      <c r="F14" s="2" t="s">
        <v>59</v>
      </c>
      <c r="G14" s="2" t="s">
        <v>80</v>
      </c>
      <c r="H14" s="3" t="s">
        <v>54</v>
      </c>
      <c r="I14" s="3" t="s">
        <v>55</v>
      </c>
      <c r="J14" s="2"/>
      <c r="K14" s="3"/>
    </row>
    <row r="15" customFormat="false" ht="15" hidden="false" customHeight="false" outlineLevel="0" collapsed="false">
      <c r="A15" s="2" t="s">
        <v>81</v>
      </c>
      <c r="B15" s="2" t="s">
        <v>67</v>
      </c>
      <c r="C15" s="2" t="s">
        <v>82</v>
      </c>
      <c r="D15" s="2" t="s">
        <v>74</v>
      </c>
      <c r="E15" s="2" t="s">
        <v>83</v>
      </c>
      <c r="F15" s="2" t="s">
        <v>59</v>
      </c>
      <c r="G15" s="2" t="s">
        <v>84</v>
      </c>
      <c r="H15" s="3" t="s">
        <v>54</v>
      </c>
      <c r="I15" s="3" t="s">
        <v>55</v>
      </c>
      <c r="J15" s="2"/>
      <c r="K15" s="3"/>
    </row>
    <row r="16" customFormat="false" ht="15" hidden="false" customHeight="false" outlineLevel="0" collapsed="false">
      <c r="A16" s="2" t="s">
        <v>85</v>
      </c>
      <c r="B16" s="2" t="s">
        <v>67</v>
      </c>
      <c r="C16" s="2" t="s">
        <v>86</v>
      </c>
      <c r="D16" s="2" t="s">
        <v>74</v>
      </c>
      <c r="E16" s="2" t="s">
        <v>87</v>
      </c>
      <c r="F16" s="2" t="s">
        <v>59</v>
      </c>
      <c r="G16" s="2" t="s">
        <v>88</v>
      </c>
      <c r="H16" s="3" t="s">
        <v>89</v>
      </c>
      <c r="I16" s="3" t="s">
        <v>55</v>
      </c>
      <c r="J16" s="2"/>
      <c r="K16" s="3"/>
    </row>
    <row r="17" customFormat="false" ht="15" hidden="false" customHeight="false" outlineLevel="0" collapsed="false">
      <c r="A17" s="2" t="s">
        <v>90</v>
      </c>
      <c r="B17" s="2" t="s">
        <v>67</v>
      </c>
      <c r="C17" s="2" t="s">
        <v>91</v>
      </c>
      <c r="D17" s="2" t="s">
        <v>74</v>
      </c>
      <c r="E17" s="2" t="s">
        <v>92</v>
      </c>
      <c r="F17" s="2" t="s">
        <v>93</v>
      </c>
      <c r="G17" s="2" t="s">
        <v>94</v>
      </c>
      <c r="H17" s="3" t="s">
        <v>18</v>
      </c>
      <c r="I17" s="3" t="s">
        <v>19</v>
      </c>
      <c r="J17" s="2"/>
      <c r="K17" s="3"/>
    </row>
    <row r="18" customFormat="false" ht="15" hidden="false" customHeight="false" outlineLevel="0" collapsed="false">
      <c r="A18" s="2" t="s">
        <v>95</v>
      </c>
      <c r="B18" s="2" t="s">
        <v>67</v>
      </c>
      <c r="C18" s="2" t="s">
        <v>96</v>
      </c>
      <c r="D18" s="2" t="s">
        <v>74</v>
      </c>
      <c r="E18" s="2" t="s">
        <v>97</v>
      </c>
      <c r="F18" s="2" t="s">
        <v>98</v>
      </c>
      <c r="G18" s="2" t="s">
        <v>99</v>
      </c>
      <c r="H18" s="3" t="s">
        <v>18</v>
      </c>
      <c r="I18" s="3" t="s">
        <v>19</v>
      </c>
      <c r="J18" s="2"/>
      <c r="K18" s="3"/>
    </row>
    <row r="19" customFormat="false" ht="23.85" hidden="false" customHeight="false" outlineLevel="0" collapsed="false">
      <c r="A19" s="2" t="s">
        <v>100</v>
      </c>
      <c r="B19" s="2" t="s">
        <v>67</v>
      </c>
      <c r="C19" s="2" t="s">
        <v>101</v>
      </c>
      <c r="D19" s="2" t="s">
        <v>74</v>
      </c>
      <c r="E19" s="2" t="s">
        <v>102</v>
      </c>
      <c r="F19" s="2" t="s">
        <v>103</v>
      </c>
      <c r="G19" s="2" t="s">
        <v>104</v>
      </c>
      <c r="H19" s="3" t="s">
        <v>54</v>
      </c>
      <c r="I19" s="3" t="s">
        <v>55</v>
      </c>
      <c r="J19" s="2"/>
      <c r="K19" s="3"/>
    </row>
    <row r="20" customFormat="false" ht="15" hidden="false" customHeight="false" outlineLevel="0" collapsed="false">
      <c r="A20" s="2" t="s">
        <v>105</v>
      </c>
      <c r="B20" s="2" t="s">
        <v>106</v>
      </c>
      <c r="C20" s="2" t="s">
        <v>107</v>
      </c>
      <c r="D20" s="2" t="s">
        <v>74</v>
      </c>
      <c r="E20" s="2" t="s">
        <v>108</v>
      </c>
      <c r="F20" s="2" t="s">
        <v>109</v>
      </c>
      <c r="G20" s="2" t="s">
        <v>110</v>
      </c>
      <c r="H20" s="3" t="s">
        <v>18</v>
      </c>
      <c r="I20" s="3" t="s">
        <v>55</v>
      </c>
      <c r="J20" s="2"/>
      <c r="K20" s="3"/>
    </row>
    <row r="21" customFormat="false" ht="15" hidden="false" customHeight="false" outlineLevel="0" collapsed="false">
      <c r="A21" s="2" t="s">
        <v>111</v>
      </c>
      <c r="B21" s="2" t="s">
        <v>106</v>
      </c>
      <c r="C21" s="2" t="s">
        <v>112</v>
      </c>
      <c r="D21" s="2" t="s">
        <v>113</v>
      </c>
      <c r="E21" s="2" t="s">
        <v>114</v>
      </c>
      <c r="F21" s="2" t="s">
        <v>109</v>
      </c>
      <c r="G21" s="2" t="s">
        <v>115</v>
      </c>
      <c r="H21" s="3" t="s">
        <v>18</v>
      </c>
      <c r="I21" s="3" t="s">
        <v>19</v>
      </c>
      <c r="J21" s="2"/>
      <c r="K21" s="3"/>
    </row>
    <row r="22" customFormat="false" ht="15" hidden="false" customHeight="false" outlineLevel="0" collapsed="false">
      <c r="A22" s="2" t="s">
        <v>116</v>
      </c>
      <c r="B22" s="2" t="s">
        <v>106</v>
      </c>
      <c r="C22" s="2" t="s">
        <v>117</v>
      </c>
      <c r="D22" s="2" t="s">
        <v>118</v>
      </c>
      <c r="E22" s="2" t="s">
        <v>114</v>
      </c>
      <c r="F22" s="2" t="s">
        <v>98</v>
      </c>
      <c r="G22" s="2" t="s">
        <v>119</v>
      </c>
      <c r="H22" s="3" t="s">
        <v>18</v>
      </c>
      <c r="I22" s="3" t="s">
        <v>19</v>
      </c>
      <c r="J22" s="2"/>
      <c r="K22" s="3"/>
    </row>
    <row r="23" customFormat="false" ht="15" hidden="false" customHeight="false" outlineLevel="0" collapsed="false">
      <c r="A23" s="2" t="s">
        <v>120</v>
      </c>
      <c r="B23" s="2" t="s">
        <v>106</v>
      </c>
      <c r="C23" s="2" t="s">
        <v>121</v>
      </c>
      <c r="D23" s="2" t="s">
        <v>122</v>
      </c>
      <c r="E23" s="2" t="s">
        <v>123</v>
      </c>
      <c r="F23" s="2" t="s">
        <v>98</v>
      </c>
      <c r="G23" s="2" t="s">
        <v>124</v>
      </c>
      <c r="H23" s="3" t="s">
        <v>18</v>
      </c>
      <c r="I23" s="3" t="s">
        <v>19</v>
      </c>
      <c r="J23" s="2"/>
      <c r="K23" s="3"/>
    </row>
    <row r="24" customFormat="false" ht="15" hidden="false" customHeight="false" outlineLevel="0" collapsed="false">
      <c r="A24" s="2" t="s">
        <v>125</v>
      </c>
      <c r="B24" s="2" t="s">
        <v>106</v>
      </c>
      <c r="C24" s="2" t="s">
        <v>126</v>
      </c>
      <c r="D24" s="2" t="s">
        <v>127</v>
      </c>
      <c r="E24" s="2" t="s">
        <v>128</v>
      </c>
      <c r="F24" s="2" t="s">
        <v>109</v>
      </c>
      <c r="G24" s="2" t="s">
        <v>129</v>
      </c>
      <c r="H24" s="3" t="s">
        <v>54</v>
      </c>
      <c r="I24" s="3" t="s">
        <v>55</v>
      </c>
      <c r="J24" s="2"/>
      <c r="K24" s="3"/>
    </row>
    <row r="25" customFormat="false" ht="15" hidden="false" customHeight="false" outlineLevel="0" collapsed="false">
      <c r="A25" s="2" t="s">
        <v>130</v>
      </c>
      <c r="B25" s="2" t="s">
        <v>106</v>
      </c>
      <c r="C25" s="2" t="s">
        <v>131</v>
      </c>
      <c r="D25" s="2" t="s">
        <v>122</v>
      </c>
      <c r="E25" s="2" t="s">
        <v>121</v>
      </c>
      <c r="F25" s="2" t="s">
        <v>98</v>
      </c>
      <c r="G25" s="2" t="s">
        <v>132</v>
      </c>
      <c r="H25" s="3" t="s">
        <v>18</v>
      </c>
      <c r="I25" s="3" t="s">
        <v>133</v>
      </c>
      <c r="J25" s="2"/>
      <c r="K25" s="3"/>
    </row>
    <row r="26" customFormat="false" ht="15" hidden="false" customHeight="false" outlineLevel="0" collapsed="false">
      <c r="A26" s="2" t="s">
        <v>134</v>
      </c>
      <c r="B26" s="2" t="s">
        <v>106</v>
      </c>
      <c r="C26" s="2" t="s">
        <v>135</v>
      </c>
      <c r="D26" s="2" t="s">
        <v>136</v>
      </c>
      <c r="E26" s="2" t="s">
        <v>137</v>
      </c>
      <c r="F26" s="2" t="s">
        <v>59</v>
      </c>
      <c r="G26" s="2" t="s">
        <v>138</v>
      </c>
      <c r="H26" s="3" t="s">
        <v>54</v>
      </c>
      <c r="I26" s="3" t="s">
        <v>55</v>
      </c>
      <c r="J26" s="2"/>
      <c r="K26" s="3"/>
    </row>
    <row r="27" customFormat="false" ht="15" hidden="false" customHeight="false" outlineLevel="0" collapsed="false">
      <c r="A27" s="2" t="s">
        <v>139</v>
      </c>
      <c r="B27" s="2" t="s">
        <v>106</v>
      </c>
      <c r="C27" s="2" t="s">
        <v>140</v>
      </c>
      <c r="D27" s="2" t="s">
        <v>127</v>
      </c>
      <c r="E27" s="2" t="s">
        <v>141</v>
      </c>
      <c r="F27" s="2" t="s">
        <v>59</v>
      </c>
      <c r="G27" s="2" t="s">
        <v>142</v>
      </c>
      <c r="H27" s="3" t="s">
        <v>18</v>
      </c>
      <c r="I27" s="3" t="s">
        <v>55</v>
      </c>
      <c r="J27" s="2"/>
      <c r="K27" s="3"/>
    </row>
    <row r="28" customFormat="false" ht="15" hidden="false" customHeight="false" outlineLevel="0" collapsed="false">
      <c r="A28" s="2" t="s">
        <v>143</v>
      </c>
      <c r="B28" s="2" t="s">
        <v>144</v>
      </c>
      <c r="C28" s="2" t="s">
        <v>145</v>
      </c>
      <c r="D28" s="2" t="s">
        <v>127</v>
      </c>
      <c r="E28" s="2" t="s">
        <v>146</v>
      </c>
      <c r="F28" s="2" t="s">
        <v>109</v>
      </c>
      <c r="G28" s="2" t="s">
        <v>147</v>
      </c>
      <c r="H28" s="3" t="s">
        <v>18</v>
      </c>
      <c r="I28" s="3" t="s">
        <v>55</v>
      </c>
      <c r="J28" s="2"/>
      <c r="K28" s="3"/>
    </row>
    <row r="29" customFormat="false" ht="15" hidden="false" customHeight="false" outlineLevel="0" collapsed="false">
      <c r="A29" s="2" t="s">
        <v>148</v>
      </c>
      <c r="B29" s="2" t="s">
        <v>144</v>
      </c>
      <c r="C29" s="2" t="s">
        <v>149</v>
      </c>
      <c r="D29" s="2" t="s">
        <v>147</v>
      </c>
      <c r="E29" s="2" t="s">
        <v>150</v>
      </c>
      <c r="F29" s="2" t="s">
        <v>151</v>
      </c>
      <c r="G29" s="2" t="s">
        <v>152</v>
      </c>
      <c r="H29" s="3" t="s">
        <v>18</v>
      </c>
      <c r="I29" s="3" t="s">
        <v>19</v>
      </c>
      <c r="J29" s="2"/>
      <c r="K29" s="3"/>
    </row>
    <row r="30" customFormat="false" ht="23.85" hidden="false" customHeight="false" outlineLevel="0" collapsed="false">
      <c r="A30" s="2" t="s">
        <v>153</v>
      </c>
      <c r="B30" s="2" t="s">
        <v>144</v>
      </c>
      <c r="C30" s="2" t="s">
        <v>154</v>
      </c>
      <c r="D30" s="2" t="s">
        <v>147</v>
      </c>
      <c r="E30" s="2" t="s">
        <v>155</v>
      </c>
      <c r="F30" s="2" t="s">
        <v>156</v>
      </c>
      <c r="G30" s="2" t="s">
        <v>157</v>
      </c>
      <c r="H30" s="3" t="s">
        <v>18</v>
      </c>
      <c r="I30" s="3" t="s">
        <v>25</v>
      </c>
      <c r="J30" s="2"/>
      <c r="K30" s="3"/>
    </row>
    <row r="31" customFormat="false" ht="23.85" hidden="false" customHeight="false" outlineLevel="0" collapsed="false">
      <c r="A31" s="2" t="s">
        <v>158</v>
      </c>
      <c r="B31" s="2" t="s">
        <v>144</v>
      </c>
      <c r="C31" s="2" t="s">
        <v>159</v>
      </c>
      <c r="D31" s="2" t="s">
        <v>147</v>
      </c>
      <c r="E31" s="2" t="s">
        <v>160</v>
      </c>
      <c r="F31" s="2" t="s">
        <v>161</v>
      </c>
      <c r="G31" s="2" t="s">
        <v>162</v>
      </c>
      <c r="H31" s="3" t="s">
        <v>18</v>
      </c>
      <c r="I31" s="3" t="s">
        <v>25</v>
      </c>
      <c r="J31" s="2"/>
      <c r="K31" s="3"/>
    </row>
    <row r="32" customFormat="false" ht="23.85" hidden="false" customHeight="false" outlineLevel="0" collapsed="false">
      <c r="A32" s="2" t="s">
        <v>163</v>
      </c>
      <c r="B32" s="2" t="s">
        <v>144</v>
      </c>
      <c r="C32" s="2" t="s">
        <v>164</v>
      </c>
      <c r="D32" s="2" t="s">
        <v>147</v>
      </c>
      <c r="E32" s="2" t="s">
        <v>165</v>
      </c>
      <c r="F32" s="2" t="s">
        <v>166</v>
      </c>
      <c r="G32" s="2" t="s">
        <v>167</v>
      </c>
      <c r="H32" s="3" t="s">
        <v>18</v>
      </c>
      <c r="I32" s="3" t="s">
        <v>25</v>
      </c>
      <c r="J32" s="2"/>
      <c r="K32" s="3"/>
    </row>
    <row r="33" customFormat="false" ht="15" hidden="false" customHeight="false" outlineLevel="0" collapsed="false">
      <c r="A33" s="2" t="s">
        <v>168</v>
      </c>
      <c r="B33" s="2" t="s">
        <v>144</v>
      </c>
      <c r="C33" s="2" t="s">
        <v>169</v>
      </c>
      <c r="D33" s="2" t="s">
        <v>147</v>
      </c>
      <c r="E33" s="2" t="s">
        <v>170</v>
      </c>
      <c r="F33" s="2" t="s">
        <v>171</v>
      </c>
      <c r="G33" s="2" t="s">
        <v>48</v>
      </c>
      <c r="H33" s="3" t="s">
        <v>18</v>
      </c>
      <c r="I33" s="3" t="s">
        <v>25</v>
      </c>
      <c r="J33" s="2"/>
      <c r="K33" s="3"/>
    </row>
    <row r="34" customFormat="false" ht="23.85" hidden="false" customHeight="false" outlineLevel="0" collapsed="false">
      <c r="A34" s="2" t="s">
        <v>172</v>
      </c>
      <c r="B34" s="2" t="s">
        <v>144</v>
      </c>
      <c r="C34" s="2" t="s">
        <v>173</v>
      </c>
      <c r="D34" s="2" t="s">
        <v>147</v>
      </c>
      <c r="E34" s="2" t="s">
        <v>174</v>
      </c>
      <c r="F34" s="2" t="s">
        <v>175</v>
      </c>
      <c r="G34" s="2" t="s">
        <v>176</v>
      </c>
      <c r="H34" s="3" t="s">
        <v>54</v>
      </c>
      <c r="I34" s="3" t="s">
        <v>25</v>
      </c>
      <c r="J34" s="2"/>
      <c r="K34" s="3"/>
    </row>
    <row r="35" customFormat="false" ht="15" hidden="false" customHeight="false" outlineLevel="0" collapsed="false">
      <c r="A35" s="2" t="s">
        <v>177</v>
      </c>
      <c r="B35" s="2" t="s">
        <v>144</v>
      </c>
      <c r="C35" s="2" t="s">
        <v>178</v>
      </c>
      <c r="D35" s="2" t="s">
        <v>179</v>
      </c>
      <c r="E35" s="2" t="s">
        <v>180</v>
      </c>
      <c r="F35" s="2" t="s">
        <v>109</v>
      </c>
      <c r="G35" s="2" t="s">
        <v>181</v>
      </c>
      <c r="H35" s="3" t="s">
        <v>18</v>
      </c>
      <c r="I35" s="3" t="s">
        <v>133</v>
      </c>
      <c r="J35" s="2"/>
      <c r="K35" s="3"/>
    </row>
    <row r="36" customFormat="false" ht="15" hidden="false" customHeight="false" outlineLevel="0" collapsed="false">
      <c r="A36" s="2" t="s">
        <v>182</v>
      </c>
      <c r="B36" s="2" t="s">
        <v>144</v>
      </c>
      <c r="C36" s="2" t="s">
        <v>183</v>
      </c>
      <c r="D36" s="2" t="s">
        <v>179</v>
      </c>
      <c r="E36" s="2" t="s">
        <v>184</v>
      </c>
      <c r="F36" s="2" t="s">
        <v>185</v>
      </c>
      <c r="G36" s="2" t="s">
        <v>186</v>
      </c>
      <c r="H36" s="3" t="s">
        <v>18</v>
      </c>
      <c r="I36" s="3" t="s">
        <v>19</v>
      </c>
      <c r="J36" s="2"/>
      <c r="K36" s="3"/>
    </row>
    <row r="37" customFormat="false" ht="15" hidden="false" customHeight="false" outlineLevel="0" collapsed="false">
      <c r="A37" s="2" t="s">
        <v>187</v>
      </c>
      <c r="B37" s="2" t="s">
        <v>144</v>
      </c>
      <c r="C37" s="2" t="s">
        <v>188</v>
      </c>
      <c r="D37" s="2" t="s">
        <v>189</v>
      </c>
      <c r="E37" s="2" t="s">
        <v>190</v>
      </c>
      <c r="F37" s="2" t="s">
        <v>59</v>
      </c>
      <c r="G37" s="2" t="s">
        <v>191</v>
      </c>
      <c r="H37" s="3" t="s">
        <v>18</v>
      </c>
      <c r="I37" s="3" t="s">
        <v>55</v>
      </c>
      <c r="J37" s="2"/>
      <c r="K37" s="3"/>
    </row>
    <row r="38" customFormat="false" ht="23.85" hidden="false" customHeight="false" outlineLevel="0" collapsed="false">
      <c r="A38" s="2" t="s">
        <v>192</v>
      </c>
      <c r="B38" s="2" t="s">
        <v>193</v>
      </c>
      <c r="C38" s="2" t="s">
        <v>194</v>
      </c>
      <c r="D38" s="2" t="s">
        <v>195</v>
      </c>
      <c r="E38" s="2" t="s">
        <v>196</v>
      </c>
      <c r="F38" s="2" t="s">
        <v>197</v>
      </c>
      <c r="G38" s="2" t="s">
        <v>198</v>
      </c>
      <c r="H38" s="3" t="s">
        <v>18</v>
      </c>
      <c r="I38" s="3" t="s">
        <v>19</v>
      </c>
      <c r="J38" s="2"/>
      <c r="K38" s="3"/>
    </row>
    <row r="39" customFormat="false" ht="23.85" hidden="false" customHeight="false" outlineLevel="0" collapsed="false">
      <c r="A39" s="2" t="s">
        <v>199</v>
      </c>
      <c r="B39" s="2" t="s">
        <v>193</v>
      </c>
      <c r="C39" s="2" t="s">
        <v>200</v>
      </c>
      <c r="D39" s="2" t="s">
        <v>201</v>
      </c>
      <c r="E39" s="2" t="s">
        <v>202</v>
      </c>
      <c r="F39" s="2" t="s">
        <v>59</v>
      </c>
      <c r="G39" s="2" t="s">
        <v>203</v>
      </c>
      <c r="H39" s="3" t="s">
        <v>54</v>
      </c>
      <c r="I39" s="3" t="s">
        <v>133</v>
      </c>
      <c r="J39" s="2"/>
      <c r="K39" s="3"/>
    </row>
    <row r="40" customFormat="false" ht="23.85" hidden="false" customHeight="false" outlineLevel="0" collapsed="false">
      <c r="A40" s="2" t="s">
        <v>204</v>
      </c>
      <c r="B40" s="2" t="s">
        <v>193</v>
      </c>
      <c r="C40" s="2" t="s">
        <v>205</v>
      </c>
      <c r="D40" s="2" t="s">
        <v>201</v>
      </c>
      <c r="E40" s="2" t="s">
        <v>206</v>
      </c>
      <c r="F40" s="2" t="s">
        <v>59</v>
      </c>
      <c r="G40" s="2" t="s">
        <v>207</v>
      </c>
      <c r="H40" s="3" t="s">
        <v>54</v>
      </c>
      <c r="I40" s="3" t="s">
        <v>55</v>
      </c>
      <c r="J40" s="2"/>
      <c r="K40" s="3"/>
    </row>
    <row r="41" customFormat="false" ht="23.85" hidden="false" customHeight="false" outlineLevel="0" collapsed="false">
      <c r="A41" s="2" t="s">
        <v>208</v>
      </c>
      <c r="B41" s="2" t="s">
        <v>193</v>
      </c>
      <c r="C41" s="2" t="s">
        <v>209</v>
      </c>
      <c r="D41" s="2" t="s">
        <v>201</v>
      </c>
      <c r="E41" s="2" t="s">
        <v>210</v>
      </c>
      <c r="F41" s="2" t="s">
        <v>59</v>
      </c>
      <c r="G41" s="2" t="s">
        <v>211</v>
      </c>
      <c r="H41" s="3" t="s">
        <v>18</v>
      </c>
      <c r="I41" s="3" t="s">
        <v>25</v>
      </c>
      <c r="J41" s="2"/>
      <c r="K41" s="3"/>
    </row>
  </sheetData>
  <autoFilter ref="A1:K41"/>
  <conditionalFormatting sqref="K2:K41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1">
    <dataValidation allowBlank="true" errorStyle="stop" operator="between" showDropDown="false" showErrorMessage="false" showInputMessage="false" sqref="K2:K41" type="list">
      <formula1>"Pass,Fail,Blocked,Not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4" t="s">
        <v>212</v>
      </c>
    </row>
    <row r="3" customFormat="false" ht="15" hidden="false" customHeight="false" outlineLevel="0" collapsed="false">
      <c r="A3" s="5" t="s">
        <v>1</v>
      </c>
      <c r="B3" s="5" t="s">
        <v>213</v>
      </c>
      <c r="C3" s="5" t="s">
        <v>214</v>
      </c>
      <c r="D3" s="5" t="s">
        <v>215</v>
      </c>
      <c r="E3" s="5" t="s">
        <v>216</v>
      </c>
      <c r="F3" s="5" t="s">
        <v>217</v>
      </c>
    </row>
    <row r="4" customFormat="false" ht="15" hidden="false" customHeight="false" outlineLevel="0" collapsed="false">
      <c r="A4" s="6" t="s">
        <v>12</v>
      </c>
      <c r="B4" s="7" t="n">
        <f aca="false">COUNTIF('Test Cases'!$B$2:$B$41,A4)</f>
        <v>10</v>
      </c>
      <c r="C4" s="7" t="n">
        <f aca="false">COUNTIFS('Test Cases'!$B$2:$B$41,$A4,'Test Cases'!$K$2:$K$41,"Pass")</f>
        <v>0</v>
      </c>
      <c r="D4" s="7" t="n">
        <f aca="false">COUNTIFS('Test Cases'!$B$2:$B$41,$A4,'Test Cases'!$K$2:$K$41,"Fail")</f>
        <v>0</v>
      </c>
      <c r="E4" s="7" t="n">
        <f aca="false">COUNTIFS('Test Cases'!$B$2:$B$41,$A4,'Test Cases'!$K$2:$K$41,"Blocked")</f>
        <v>0</v>
      </c>
      <c r="F4" s="7" t="n">
        <f aca="false">B4-C4-D4-E4</f>
        <v>10</v>
      </c>
    </row>
    <row r="5" customFormat="false" ht="15" hidden="false" customHeight="false" outlineLevel="0" collapsed="false">
      <c r="A5" s="6" t="s">
        <v>67</v>
      </c>
      <c r="B5" s="7" t="n">
        <f aca="false">COUNTIF('Test Cases'!$B$2:$B$41,A5)</f>
        <v>8</v>
      </c>
      <c r="C5" s="7" t="n">
        <f aca="false">COUNTIFS('Test Cases'!$B$2:$B$41,$A5,'Test Cases'!$K$2:$K$41,"Pass")</f>
        <v>0</v>
      </c>
      <c r="D5" s="7" t="n">
        <f aca="false">COUNTIFS('Test Cases'!$B$2:$B$41,$A5,'Test Cases'!$K$2:$K$41,"Fail")</f>
        <v>0</v>
      </c>
      <c r="E5" s="7" t="n">
        <f aca="false">COUNTIFS('Test Cases'!$B$2:$B$41,$A5,'Test Cases'!$K$2:$K$41,"Blocked")</f>
        <v>0</v>
      </c>
      <c r="F5" s="7" t="n">
        <f aca="false">B5-C5-D5-E5</f>
        <v>8</v>
      </c>
    </row>
    <row r="6" customFormat="false" ht="15" hidden="false" customHeight="false" outlineLevel="0" collapsed="false">
      <c r="A6" s="6" t="s">
        <v>106</v>
      </c>
      <c r="B6" s="7" t="n">
        <f aca="false">COUNTIF('Test Cases'!$B$2:$B$41,A6)</f>
        <v>8</v>
      </c>
      <c r="C6" s="7" t="n">
        <f aca="false">COUNTIFS('Test Cases'!$B$2:$B$41,$A6,'Test Cases'!$K$2:$K$41,"Pass")</f>
        <v>0</v>
      </c>
      <c r="D6" s="7" t="n">
        <f aca="false">COUNTIFS('Test Cases'!$B$2:$B$41,$A6,'Test Cases'!$K$2:$K$41,"Fail")</f>
        <v>0</v>
      </c>
      <c r="E6" s="7" t="n">
        <f aca="false">COUNTIFS('Test Cases'!$B$2:$B$41,$A6,'Test Cases'!$K$2:$K$41,"Blocked")</f>
        <v>0</v>
      </c>
      <c r="F6" s="7" t="n">
        <f aca="false">B6-C6-D6-E6</f>
        <v>8</v>
      </c>
    </row>
    <row r="7" customFormat="false" ht="15" hidden="false" customHeight="false" outlineLevel="0" collapsed="false">
      <c r="A7" s="6" t="s">
        <v>144</v>
      </c>
      <c r="B7" s="7" t="n">
        <f aca="false">COUNTIF('Test Cases'!$B$2:$B$41,A7)</f>
        <v>10</v>
      </c>
      <c r="C7" s="7" t="n">
        <f aca="false">COUNTIFS('Test Cases'!$B$2:$B$41,$A7,'Test Cases'!$K$2:$K$41,"Pass")</f>
        <v>0</v>
      </c>
      <c r="D7" s="7" t="n">
        <f aca="false">COUNTIFS('Test Cases'!$B$2:$B$41,$A7,'Test Cases'!$K$2:$K$41,"Fail")</f>
        <v>0</v>
      </c>
      <c r="E7" s="7" t="n">
        <f aca="false">COUNTIFS('Test Cases'!$B$2:$B$41,$A7,'Test Cases'!$K$2:$K$41,"Blocked")</f>
        <v>0</v>
      </c>
      <c r="F7" s="7" t="n">
        <f aca="false">B7-C7-D7-E7</f>
        <v>10</v>
      </c>
    </row>
    <row r="8" customFormat="false" ht="15" hidden="false" customHeight="false" outlineLevel="0" collapsed="false">
      <c r="A8" s="6" t="s">
        <v>193</v>
      </c>
      <c r="B8" s="7" t="n">
        <f aca="false">COUNTIF('Test Cases'!$B$2:$B$41,A8)</f>
        <v>4</v>
      </c>
      <c r="C8" s="7" t="n">
        <f aca="false">COUNTIFS('Test Cases'!$B$2:$B$41,$A8,'Test Cases'!$K$2:$K$41,"Pass")</f>
        <v>0</v>
      </c>
      <c r="D8" s="7" t="n">
        <f aca="false">COUNTIFS('Test Cases'!$B$2:$B$41,$A8,'Test Cases'!$K$2:$K$41,"Fail")</f>
        <v>0</v>
      </c>
      <c r="E8" s="7" t="n">
        <f aca="false">COUNTIFS('Test Cases'!$B$2:$B$41,$A8,'Test Cases'!$K$2:$K$41,"Blocked")</f>
        <v>0</v>
      </c>
      <c r="F8" s="7" t="n">
        <f aca="false">B8-C8-D8-E8</f>
        <v>4</v>
      </c>
    </row>
    <row r="9" customFormat="false" ht="15" hidden="false" customHeight="false" outlineLevel="0" collapsed="false">
      <c r="A9" s="8" t="s">
        <v>213</v>
      </c>
      <c r="B9" s="9" t="n">
        <f aca="false">SUM(B4:B8)</f>
        <v>40</v>
      </c>
      <c r="C9" s="9" t="n">
        <f aca="false">SUM(C4:C8)</f>
        <v>0</v>
      </c>
      <c r="D9" s="9" t="n">
        <f aca="false">SUM(D4:D8)</f>
        <v>0</v>
      </c>
      <c r="E9" s="9" t="n">
        <f aca="false">SUM(E4:E8)</f>
        <v>0</v>
      </c>
      <c r="F9" s="9" t="n">
        <f aca="false">SUM(F4:F8)</f>
        <v>40</v>
      </c>
    </row>
    <row r="11" customFormat="false" ht="15" hidden="false" customHeight="false" outlineLevel="0" collapsed="false">
      <c r="A11" s="10" t="s">
        <v>218</v>
      </c>
      <c r="B11" s="11" t="n">
        <f aca="false">IF(B9=0,0,C9/B9)</f>
        <v>0</v>
      </c>
    </row>
    <row r="12" customFormat="false" ht="15" hidden="false" customHeight="false" outlineLevel="0" collapsed="false">
      <c r="A12" s="1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2026-09-28T11:46:19Z</dcterms:created>
  <dc:creator>openpyxl</dc:creator>
  <dc:description/>
  <dc:language>en-US</dc:language>
  <cp:lastModifiedBy/>
  <dcterms:modified xsi:type="dcterms:W3CDTF">2026-09-28T11:46:19Z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